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mulua\Documents\Documents\Documentos Chadreque\DPC\Monitoria e Avaliacao\MISAU\2026\Conselho Coordenador\Apresentacoes finais\"/>
    </mc:Choice>
  </mc:AlternateContent>
  <xr:revisionPtr revIDLastSave="0" documentId="13_ncr:1_{9DF0D90C-B16D-4127-B1F2-0FC3219C82FE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genda " sheetId="10" r:id="rId1"/>
    <sheet name="Sessao de abertura" sheetId="11" r:id="rId2"/>
    <sheet name="Programa detalhado " sheetId="14" r:id="rId3"/>
  </sheets>
  <definedNames>
    <definedName name="_xlnm.Print_Area" localSheetId="0">'Agenda '!$B$1:$F$35</definedName>
    <definedName name="_xlnm.Print_Area" localSheetId="2">'Programa detalhado '!$B$1:$G$76</definedName>
    <definedName name="_xlnm.Print_Area" localSheetId="1">'Sessao de abertura'!$B$1:$G$28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0" l="1"/>
  <c r="C39" i="10" s="1"/>
  <c r="C37" i="10"/>
  <c r="C36" i="10"/>
  <c r="C89" i="14"/>
  <c r="C90" i="14"/>
  <c r="C91" i="14"/>
  <c r="C92" i="14"/>
  <c r="C23" i="14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20" i="14"/>
  <c r="C21" i="14" s="1"/>
  <c r="C16" i="14"/>
  <c r="C23" i="11"/>
  <c r="C24" i="11" s="1"/>
  <c r="C25" i="11" s="1"/>
  <c r="C26" i="11" s="1"/>
  <c r="C27" i="11" s="1"/>
  <c r="C28" i="11" s="1"/>
  <c r="C20" i="11"/>
  <c r="C21" i="11" s="1"/>
  <c r="C16" i="11"/>
  <c r="C18" i="11" s="1"/>
  <c r="C16" i="10"/>
  <c r="C18" i="14" l="1"/>
  <c r="C17" i="14"/>
  <c r="C17" i="10"/>
  <c r="C18" i="10" s="1"/>
  <c r="C19" i="10" s="1"/>
  <c r="C20" i="10" s="1"/>
  <c r="C21" i="10" s="1"/>
  <c r="C22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17" i="11"/>
</calcChain>
</file>

<file path=xl/sharedStrings.xml><?xml version="1.0" encoding="utf-8"?>
<sst xmlns="http://schemas.openxmlformats.org/spreadsheetml/2006/main" count="347" uniqueCount="171">
  <si>
    <t>REPÚBLICA DE MOÇAMBIQUE</t>
  </si>
  <si>
    <t>MINISTÉRIO DA SAÚDE</t>
  </si>
  <si>
    <t>Lema: "Por um Serviço Nacional de Saúde de Qualidade e Humanizado para Todos!"</t>
  </si>
  <si>
    <t>N.Ord.</t>
  </si>
  <si>
    <t>Discussão</t>
  </si>
  <si>
    <t>DNAM</t>
  </si>
  <si>
    <t>CMAM</t>
  </si>
  <si>
    <t xml:space="preserve">IGS </t>
  </si>
  <si>
    <t>DPC</t>
  </si>
  <si>
    <t>DNSP</t>
  </si>
  <si>
    <t>Tempo</t>
  </si>
  <si>
    <t>Actividade/Tema</t>
  </si>
  <si>
    <t>Responsável</t>
  </si>
  <si>
    <t>08:00 - 08:40h</t>
  </si>
  <si>
    <t>Registo dos participantes</t>
  </si>
  <si>
    <t>Protocolo</t>
  </si>
  <si>
    <t>08:40h</t>
  </si>
  <si>
    <t>08:45h</t>
  </si>
  <si>
    <t>08:50h</t>
  </si>
  <si>
    <t>08:55h</t>
  </si>
  <si>
    <t xml:space="preserve">Entrada do Presidium </t>
  </si>
  <si>
    <t xml:space="preserve">Hino Nacional </t>
  </si>
  <si>
    <t>09:05 - 09:15h</t>
  </si>
  <si>
    <t>09:15 - 09:25h</t>
  </si>
  <si>
    <t>Intervenção do Parceiro de 1º Contacto</t>
  </si>
  <si>
    <t>Parceiro de 1º Contacto</t>
  </si>
  <si>
    <t>09:25 - 09:35h</t>
  </si>
  <si>
    <t>Momento Cultural</t>
  </si>
  <si>
    <t>Grupo Cultural</t>
  </si>
  <si>
    <t>09:35 - 09:45h</t>
  </si>
  <si>
    <t>Discurso de abertura por S. Excia Ministro da Saúde</t>
  </si>
  <si>
    <t>S. Excia Ministro</t>
  </si>
  <si>
    <t>Pausa para a foto de Familia e café</t>
  </si>
  <si>
    <t>Adopção da Agenda e do Programa</t>
  </si>
  <si>
    <t xml:space="preserve">Objectivos da reunião </t>
  </si>
  <si>
    <t xml:space="preserve">Discussão </t>
  </si>
  <si>
    <t>Pausa para o almoço</t>
  </si>
  <si>
    <t>08:30 - 09:00h</t>
  </si>
  <si>
    <t>Secretariado</t>
  </si>
  <si>
    <t>Pausa para o café</t>
  </si>
  <si>
    <t xml:space="preserve">Fim dos trabalhos </t>
  </si>
  <si>
    <t>Momento cultural</t>
  </si>
  <si>
    <t>Discurso de encerramento</t>
  </si>
  <si>
    <t>Fim do evento</t>
  </si>
  <si>
    <t>ANARME</t>
  </si>
  <si>
    <t>INS</t>
  </si>
  <si>
    <t>Grau de cumprimento das recomendações do L CCS</t>
  </si>
  <si>
    <t>Análise do desempenho do sector 2025</t>
  </si>
  <si>
    <t>Análise do desempenho provincial 2025 - Região Norte</t>
  </si>
  <si>
    <t xml:space="preserve">Rep. região norte </t>
  </si>
  <si>
    <t>Análise do desempenho provincial 2025 - Região Centro</t>
  </si>
  <si>
    <t>Rep. região centro</t>
  </si>
  <si>
    <t>Análise do desempenho provincial 2025 - Região Sul</t>
  </si>
  <si>
    <t xml:space="preserve">Rep. região sul </t>
  </si>
  <si>
    <t>Análise de desempenho da área de assistencial</t>
  </si>
  <si>
    <t>DAF</t>
  </si>
  <si>
    <t>Balanço das inspeções farmacêuticas do exercício 2025 – incluindo track and trace</t>
  </si>
  <si>
    <t>Balanço de actividades inspectivas do sector</t>
  </si>
  <si>
    <t>DNFPS</t>
  </si>
  <si>
    <t>Vigilância Integrada: a base para acção coordenada e eficaz</t>
  </si>
  <si>
    <t>Unidade de Reformas</t>
  </si>
  <si>
    <t>Análise de sistemas e abordagem de melhoria para optimizar a cascata de tratamento em saúde mental em Manica e Sofala (ensaio randomizado de Cluster) 2022-2026</t>
  </si>
  <si>
    <t>Ponto de situação das infraestruturas</t>
  </si>
  <si>
    <t>11:10 - 11:35h</t>
  </si>
  <si>
    <t>14:50 - 15:10h</t>
  </si>
  <si>
    <t>15:10 - 15:30h</t>
  </si>
  <si>
    <t>LI  Conselho Coordenador de Saúde</t>
  </si>
  <si>
    <t xml:space="preserve">Sessões do LI Conselho Coordenador </t>
  </si>
  <si>
    <t>Chegada de S.Excia Governador de Província</t>
  </si>
  <si>
    <t>09:00h</t>
  </si>
  <si>
    <t>Intervenção de S.Excia Governador de Província</t>
  </si>
  <si>
    <t>09:00 - 09:05h</t>
  </si>
  <si>
    <t>09:45 - 09:55h</t>
  </si>
  <si>
    <t>09:55 - 10:10h</t>
  </si>
  <si>
    <t>10:10 - 10:40h</t>
  </si>
  <si>
    <t>10:40 - 10:45h</t>
  </si>
  <si>
    <t>10:45 - 10:50h</t>
  </si>
  <si>
    <t>10:50 - 11:10h</t>
  </si>
  <si>
    <t>11:35 - 12:00h</t>
  </si>
  <si>
    <t>12:00 - 12:30h</t>
  </si>
  <si>
    <t>12:30 - 12:50h</t>
  </si>
  <si>
    <t>12:50 - 13:10h</t>
  </si>
  <si>
    <t>13:10 - 13:30h</t>
  </si>
  <si>
    <t>13:30 - 13:50h</t>
  </si>
  <si>
    <t>13:50 - 14:50h</t>
  </si>
  <si>
    <t>15:30 - 15:50h</t>
  </si>
  <si>
    <t>15:50 - 16:10h</t>
  </si>
  <si>
    <t>16:10 - 16:30h</t>
  </si>
  <si>
    <t>16:30 - 16:50h</t>
  </si>
  <si>
    <t>16:50 - 17:05h</t>
  </si>
  <si>
    <t>17:05 - 17:20h</t>
  </si>
  <si>
    <t>17:20h</t>
  </si>
  <si>
    <t>09:00 - 09:30h</t>
  </si>
  <si>
    <t>09:30 - 10:00h</t>
  </si>
  <si>
    <t>10:00 - 10:15h</t>
  </si>
  <si>
    <t xml:space="preserve">Sofala </t>
  </si>
  <si>
    <t>AGENDA</t>
  </si>
  <si>
    <t>PROGRAMA</t>
  </si>
  <si>
    <t>Intervenção de S. Excia Secretário de Estado na Provincia</t>
  </si>
  <si>
    <t>Leitura e aprovação da síntese do 2º dia</t>
  </si>
  <si>
    <t xml:space="preserve">Chegada de S.Excia Secretário de Estado na Provincia </t>
  </si>
  <si>
    <t xml:space="preserve">Chegada de S.Excia Ministro da Saúde </t>
  </si>
  <si>
    <t>Intervenção de S.Excia Secretário de Estado na Provincia</t>
  </si>
  <si>
    <t>Discurso de abertura por S.Excia Ministro da Saúde</t>
  </si>
  <si>
    <t xml:space="preserve">S.Excia. Secretário de Estado </t>
  </si>
  <si>
    <t>S.Excia Ministro</t>
  </si>
  <si>
    <t>Intervenção de S.Excia Presidente do Município da Beira</t>
  </si>
  <si>
    <t xml:space="preserve">S.Excia Presidente do Município da Beira </t>
  </si>
  <si>
    <t>S.Excia Governador de Província</t>
  </si>
  <si>
    <t>Chegada de S.Excia Presidente do Município da Beira</t>
  </si>
  <si>
    <t xml:space="preserve">Resposta à emergências </t>
  </si>
  <si>
    <t>Leitura e aprovação da síntese do 1º dia</t>
  </si>
  <si>
    <t>Ponto de situação das IDF e qualidade de formação de profissionais de saúde</t>
  </si>
  <si>
    <t xml:space="preserve">Implementação do registo médico electrónico - ponto de situação e perspectivas </t>
  </si>
  <si>
    <t>11:45 - 12:05h</t>
  </si>
  <si>
    <t>Análise de sistemas e abordagem de melhoria para optimizar a cascata de tratamento em saúde mental em Manica e Sofala (ensaio randomizado de cluster) 2022-2026</t>
  </si>
  <si>
    <t xml:space="preserve">Lei do Sistema Nacional de Saúde - inovações e perspectivas de implementação </t>
  </si>
  <si>
    <t>A nova epidemia: desinformação sobre saúde e doença — evidência, desafios e soluções</t>
  </si>
  <si>
    <t>Vigilância integrada: a base para acção coordenada e eficaz</t>
  </si>
  <si>
    <t xml:space="preserve">Plano Estratégico do Sector da Saúde 2026-2035: linhas estratégicas </t>
  </si>
  <si>
    <t>DRH</t>
  </si>
  <si>
    <t>Balanço das inspecções farmacêuticas do exercício – incluindo track and trace</t>
  </si>
  <si>
    <t>Desafios da cadeia logistica</t>
  </si>
  <si>
    <t xml:space="preserve">Excecucao orçamental do sector da saúde </t>
  </si>
  <si>
    <t>10:15 - 10:30h</t>
  </si>
  <si>
    <t>10:30 - 11:00h</t>
  </si>
  <si>
    <t>13:15 - 14:15h</t>
  </si>
  <si>
    <t>14:15 - 14:30h</t>
  </si>
  <si>
    <t>14:30 - 14:45h</t>
  </si>
  <si>
    <t>14:45 - 15:00h</t>
  </si>
  <si>
    <t>15:00 - 15:15h</t>
  </si>
  <si>
    <t>Eficiência no sector da saúde - painel</t>
  </si>
  <si>
    <t>Leitura do comunicado final</t>
  </si>
  <si>
    <t>Plano operacional para a melhoria do rácio de profissionais de saúde nas provincias de Nampula, Zambézia e Tete</t>
  </si>
  <si>
    <t>Cidade da Beira, 05-07 de Agosto de 2026</t>
  </si>
  <si>
    <t xml:space="preserve">Excecução orçamental do sector da saúde </t>
  </si>
  <si>
    <t>Proposta do PESOE 2027: Prioridades e Linhas estratégicas e alocação do orçamento</t>
  </si>
  <si>
    <t>Cidade de Maputo</t>
  </si>
  <si>
    <t>Utilização dos dados de notificação de nados mortos para o fortalecimento da vigilancia perinatalna Cidade de Maputo</t>
  </si>
  <si>
    <t>Ponto de situação das IdF e qualidade de formação de profissionais de saúde</t>
  </si>
  <si>
    <t>Utilização dos dados de notificação de nados mortos para o fortalecimento da vigilancia perinatal na Cidade de Maputo</t>
  </si>
  <si>
    <t>16:35h</t>
  </si>
  <si>
    <t>11:00 - 11:15h</t>
  </si>
  <si>
    <t>11:15 - 11:30h</t>
  </si>
  <si>
    <t>11:30 - 11:45h</t>
  </si>
  <si>
    <t>12:05 - 12:20h</t>
  </si>
  <si>
    <t>12:20 - 12:40h</t>
  </si>
  <si>
    <t>12:40 - 12:55h</t>
  </si>
  <si>
    <t>12:55 - 13:15h</t>
  </si>
  <si>
    <t>15:15 - 15:30h</t>
  </si>
  <si>
    <t>15:30 - 15:45h</t>
  </si>
  <si>
    <t>15:45 - 16:00h</t>
  </si>
  <si>
    <t>16:00 - 16:15h</t>
  </si>
  <si>
    <t>16:15 - 16:35h</t>
  </si>
  <si>
    <t>Proposta do PESOE 2027: prioridades e linhas estratégicas e alocação do orçamento</t>
  </si>
  <si>
    <t>3° DIA: 11 de Setembro de 2026</t>
  </si>
  <si>
    <t>2° DIA: 10 de Setembro de 2026</t>
  </si>
  <si>
    <t>1° DIA: 09 de Setembro de 2026</t>
  </si>
  <si>
    <t>Cidade da Beira, 9-11 de Setembro de 2026</t>
  </si>
  <si>
    <t>1° DIA: 9 de Setembro de 2026</t>
  </si>
  <si>
    <t>3° DIA:  11 de Setembro de 2026</t>
  </si>
  <si>
    <t>2° DIA:  10 de Setembro de 2026</t>
  </si>
  <si>
    <t>09:00 - 11:00h</t>
  </si>
  <si>
    <t>11:00 - 11:30h</t>
  </si>
  <si>
    <t>11:30 - 12:00h</t>
  </si>
  <si>
    <t>13:50 - 15:50h</t>
  </si>
  <si>
    <t>16:40 - 16:55h</t>
  </si>
  <si>
    <t>16:55 - 17:15h</t>
  </si>
  <si>
    <t>17:15h</t>
  </si>
  <si>
    <t>16:10 - 16:40h</t>
  </si>
  <si>
    <t xml:space="preserve">Premiações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</si>
</sst>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1"/>
      <color theme="0"/>
      <name val="Calibri"/>
      <family val="2"/>
      <scheme val="minor"/>
    </font>
    <font>
      <sz val="1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51170384838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4" fillId="5" borderId="10" applyNumberFormat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0" fontId="3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3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505884</xdr:colOff>
      <xdr:row>0</xdr:row>
      <xdr:rowOff>141817</xdr:rowOff>
    </xdr:from>
    <xdr:to>
      <xdr:col>4</xdr:col>
      <xdr:colOff>1426634</xdr:colOff>
      <xdr:row>3</xdr:row>
      <xdr:rowOff>182553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04CB644-C9D2-46DC-A0F3-0AC04603A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92209" y="141817"/>
          <a:ext cx="920750" cy="812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505884</xdr:colOff>
      <xdr:row>0</xdr:row>
      <xdr:rowOff>141817</xdr:rowOff>
    </xdr:from>
    <xdr:to>
      <xdr:col>5</xdr:col>
      <xdr:colOff>1426634</xdr:colOff>
      <xdr:row>3</xdr:row>
      <xdr:rowOff>182553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BFD1039-4AC3-477B-A8C5-948D99A96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92209" y="141817"/>
          <a:ext cx="920750" cy="812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505884</xdr:colOff>
      <xdr:row>0</xdr:row>
      <xdr:rowOff>141817</xdr:rowOff>
    </xdr:from>
    <xdr:to>
      <xdr:col>5</xdr:col>
      <xdr:colOff>1426634</xdr:colOff>
      <xdr:row>3</xdr:row>
      <xdr:rowOff>182553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FF85292-FCD2-4E22-9AA9-E5884098F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92209" y="141817"/>
          <a:ext cx="920750" cy="812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B721-2A27-4C6B-9937-11741D010064}">
  <dimension ref="A1:IR40"/>
  <sheetViews>
    <sheetView topLeftCell="A28" zoomScale="90" zoomScaleNormal="90" zoomScaleSheetLayoutView="100" workbookViewId="0">
      <selection activeCell="D39" sqref="D39:E39"/>
    </sheetView>
  </sheetViews>
  <sheetFormatPr defaultColWidth="8.46484375" defaultRowHeight="20.25"/>
  <cols>
    <col min="1" max="1" width="8.46484375" style="19"/>
    <col min="2" max="2" width="8.796875" style="12" customWidth="1"/>
    <col min="3" max="3" width="10.46484375" style="12" customWidth="1"/>
    <col min="4" max="4" width="21.46484375" style="12" customWidth="1"/>
    <col min="5" max="5" width="60.796875" style="11" customWidth="1"/>
    <col min="6" max="6" width="28.19921875" style="12" customWidth="1"/>
    <col min="7" max="252" width="8.796875" style="11" customWidth="1"/>
    <col min="253" max="16384" width="8.46484375" style="19"/>
  </cols>
  <sheetData>
    <row r="1" spans="2:6">
      <c r="E1" s="12"/>
    </row>
    <row r="5" spans="2:6" s="20" customFormat="1" ht="15">
      <c r="B5" s="29" t="s">
        <v>0</v>
      </c>
      <c r="C5" s="29"/>
      <c r="D5" s="29"/>
      <c r="E5" s="29"/>
      <c r="F5" s="29"/>
    </row>
    <row r="6" spans="2:6" s="20" customFormat="1" ht="15">
      <c r="B6" s="29" t="s">
        <v>1</v>
      </c>
      <c r="C6" s="29"/>
      <c r="D6" s="29"/>
      <c r="E6" s="29"/>
      <c r="F6" s="29"/>
    </row>
    <row r="7" spans="2:6" s="21" customFormat="1" ht="15">
      <c r="B7" s="29" t="s">
        <v>66</v>
      </c>
      <c r="C7" s="29"/>
      <c r="D7" s="29"/>
      <c r="E7" s="29"/>
      <c r="F7" s="29"/>
    </row>
    <row r="8" spans="2:6" s="21" customFormat="1" ht="15">
      <c r="B8" s="29" t="s">
        <v>158</v>
      </c>
      <c r="C8" s="29"/>
      <c r="D8" s="29"/>
      <c r="E8" s="29"/>
      <c r="F8" s="29"/>
    </row>
    <row r="9" spans="2:6" s="21" customFormat="1" ht="15">
      <c r="B9" s="6"/>
      <c r="C9" s="6"/>
      <c r="D9" s="6"/>
      <c r="E9" s="6"/>
      <c r="F9" s="6"/>
    </row>
    <row r="10" spans="2:6" s="21" customFormat="1" ht="18" customHeight="1">
      <c r="C10" s="30" t="s">
        <v>2</v>
      </c>
      <c r="D10" s="30"/>
      <c r="E10" s="30"/>
      <c r="F10" s="30"/>
    </row>
    <row r="11" spans="2:6" ht="32.549999999999997" customHeight="1">
      <c r="B11" s="1"/>
      <c r="C11" s="2"/>
      <c r="D11" s="2"/>
      <c r="E11" s="26" t="s">
        <v>96</v>
      </c>
      <c r="F11" s="6"/>
    </row>
    <row r="12" spans="2:6" ht="27.4" customHeight="1">
      <c r="B12" s="1"/>
      <c r="C12" s="27" t="s">
        <v>67</v>
      </c>
      <c r="D12" s="28"/>
      <c r="E12" s="28"/>
      <c r="F12" s="28"/>
    </row>
    <row r="13" spans="2:6" ht="27.4" customHeight="1">
      <c r="B13" s="1"/>
      <c r="C13" s="33" t="s">
        <v>159</v>
      </c>
      <c r="D13" s="33"/>
      <c r="E13" s="33"/>
      <c r="F13" s="33"/>
    </row>
    <row r="14" spans="2:6" ht="27.4" customHeight="1">
      <c r="B14" s="1"/>
      <c r="C14" s="5" t="s">
        <v>3</v>
      </c>
      <c r="D14" s="27" t="s">
        <v>11</v>
      </c>
      <c r="E14" s="34"/>
      <c r="F14" s="17" t="s">
        <v>12</v>
      </c>
    </row>
    <row r="15" spans="2:6" s="11" customFormat="1">
      <c r="B15" s="12"/>
      <c r="C15" s="9">
        <v>1</v>
      </c>
      <c r="D15" s="39" t="s">
        <v>46</v>
      </c>
      <c r="E15" s="39"/>
      <c r="F15" s="10" t="s">
        <v>8</v>
      </c>
    </row>
    <row r="16" spans="2:6" s="11" customFormat="1">
      <c r="B16" s="12"/>
      <c r="C16" s="9">
        <f>+C15+1</f>
        <v>2</v>
      </c>
      <c r="D16" s="39" t="s">
        <v>47</v>
      </c>
      <c r="E16" s="39"/>
      <c r="F16" s="10" t="s">
        <v>8</v>
      </c>
    </row>
    <row r="17" spans="2:6" s="11" customFormat="1">
      <c r="B17" s="12"/>
      <c r="C17" s="9">
        <f t="shared" ref="C17:C22" si="0">+C16+1</f>
        <v>3</v>
      </c>
      <c r="D17" s="39" t="s">
        <v>48</v>
      </c>
      <c r="E17" s="39"/>
      <c r="F17" s="4" t="s">
        <v>49</v>
      </c>
    </row>
    <row r="18" spans="2:6" s="11" customFormat="1">
      <c r="B18" s="12"/>
      <c r="C18" s="9">
        <f t="shared" si="0"/>
        <v>4</v>
      </c>
      <c r="D18" s="31" t="s">
        <v>50</v>
      </c>
      <c r="E18" s="32"/>
      <c r="F18" s="4" t="s">
        <v>51</v>
      </c>
    </row>
    <row r="19" spans="2:6" s="11" customFormat="1">
      <c r="B19" s="12"/>
      <c r="C19" s="9">
        <f t="shared" si="0"/>
        <v>5</v>
      </c>
      <c r="D19" s="39" t="s">
        <v>52</v>
      </c>
      <c r="E19" s="39"/>
      <c r="F19" s="4" t="s">
        <v>53</v>
      </c>
    </row>
    <row r="20" spans="2:6" s="11" customFormat="1">
      <c r="B20" s="12"/>
      <c r="C20" s="9">
        <f t="shared" si="0"/>
        <v>6</v>
      </c>
      <c r="D20" s="46" t="s">
        <v>54</v>
      </c>
      <c r="E20" s="46"/>
      <c r="F20" s="4" t="s">
        <v>5</v>
      </c>
    </row>
    <row r="21" spans="2:6" s="11" customFormat="1">
      <c r="B21" s="12"/>
      <c r="C21" s="9">
        <f t="shared" si="0"/>
        <v>7</v>
      </c>
      <c r="D21" s="31" t="s">
        <v>56</v>
      </c>
      <c r="E21" s="32"/>
      <c r="F21" s="4" t="s">
        <v>44</v>
      </c>
    </row>
    <row r="22" spans="2:6" s="11" customFormat="1" ht="20.25" customHeight="1">
      <c r="B22" s="12"/>
      <c r="C22" s="9">
        <f t="shared" si="0"/>
        <v>8</v>
      </c>
      <c r="D22" s="31" t="s">
        <v>135</v>
      </c>
      <c r="E22" s="32"/>
      <c r="F22" s="4" t="s">
        <v>55</v>
      </c>
    </row>
    <row r="23" spans="2:6" s="11" customFormat="1">
      <c r="B23" s="12"/>
      <c r="C23" s="33" t="s">
        <v>161</v>
      </c>
      <c r="D23" s="33"/>
      <c r="E23" s="33"/>
      <c r="F23" s="33"/>
    </row>
    <row r="24" spans="2:6" s="11" customFormat="1" ht="20.25" customHeight="1">
      <c r="B24" s="12"/>
      <c r="C24" s="13">
        <f>+C22+1</f>
        <v>9</v>
      </c>
      <c r="D24" s="31" t="s">
        <v>57</v>
      </c>
      <c r="E24" s="32"/>
      <c r="F24" s="4" t="s">
        <v>7</v>
      </c>
    </row>
    <row r="25" spans="2:6" s="11" customFormat="1" ht="30.75" customHeight="1">
      <c r="B25" s="12"/>
      <c r="C25" s="13">
        <f>+C24+1</f>
        <v>10</v>
      </c>
      <c r="D25" s="31" t="s">
        <v>133</v>
      </c>
      <c r="E25" s="32"/>
      <c r="F25" s="4" t="s">
        <v>120</v>
      </c>
    </row>
    <row r="26" spans="2:6" s="11" customFormat="1" ht="20.25" customHeight="1">
      <c r="B26" s="12"/>
      <c r="C26" s="13">
        <f t="shared" ref="C26:C34" si="1">+C25+1</f>
        <v>11</v>
      </c>
      <c r="D26" s="51" t="s">
        <v>122</v>
      </c>
      <c r="E26" s="52"/>
      <c r="F26" s="4" t="s">
        <v>6</v>
      </c>
    </row>
    <row r="27" spans="2:6" s="11" customFormat="1" ht="20.25" customHeight="1">
      <c r="B27" s="12"/>
      <c r="C27" s="13">
        <f t="shared" si="1"/>
        <v>12</v>
      </c>
      <c r="D27" s="31" t="s">
        <v>112</v>
      </c>
      <c r="E27" s="32"/>
      <c r="F27" s="16" t="s">
        <v>58</v>
      </c>
    </row>
    <row r="28" spans="2:6" s="11" customFormat="1">
      <c r="B28" s="12"/>
      <c r="C28" s="13">
        <f t="shared" si="1"/>
        <v>13</v>
      </c>
      <c r="D28" s="31" t="s">
        <v>62</v>
      </c>
      <c r="E28" s="32"/>
      <c r="F28" s="4" t="s">
        <v>8</v>
      </c>
    </row>
    <row r="29" spans="2:6" s="11" customFormat="1" ht="27.4" customHeight="1">
      <c r="B29" s="12"/>
      <c r="C29" s="13">
        <f t="shared" si="1"/>
        <v>14</v>
      </c>
      <c r="D29" s="31" t="s">
        <v>113</v>
      </c>
      <c r="E29" s="32"/>
      <c r="F29" s="4" t="s">
        <v>8</v>
      </c>
    </row>
    <row r="30" spans="2:6" s="11" customFormat="1" ht="36" customHeight="1">
      <c r="B30" s="12"/>
      <c r="C30" s="13">
        <f t="shared" si="1"/>
        <v>15</v>
      </c>
      <c r="D30" s="31" t="s">
        <v>117</v>
      </c>
      <c r="E30" s="32"/>
      <c r="F30" s="4" t="s">
        <v>45</v>
      </c>
    </row>
    <row r="31" spans="2:6" s="11" customFormat="1">
      <c r="B31" s="12"/>
      <c r="C31" s="13">
        <f t="shared" si="1"/>
        <v>16</v>
      </c>
      <c r="D31" s="31" t="s">
        <v>59</v>
      </c>
      <c r="E31" s="32"/>
      <c r="F31" s="4" t="s">
        <v>9</v>
      </c>
    </row>
    <row r="32" spans="2:6" s="11" customFormat="1">
      <c r="B32" s="12"/>
      <c r="C32" s="13">
        <f t="shared" si="1"/>
        <v>17</v>
      </c>
      <c r="D32" s="31" t="s">
        <v>110</v>
      </c>
      <c r="E32" s="32"/>
      <c r="F32" s="4" t="s">
        <v>9</v>
      </c>
    </row>
    <row r="33" spans="1:6" s="11" customFormat="1" ht="31.9" customHeight="1">
      <c r="B33" s="12"/>
      <c r="C33" s="13">
        <f t="shared" si="1"/>
        <v>18</v>
      </c>
      <c r="D33" s="31" t="s">
        <v>138</v>
      </c>
      <c r="E33" s="32"/>
      <c r="F33" s="4" t="s">
        <v>137</v>
      </c>
    </row>
    <row r="34" spans="1:6" s="11" customFormat="1" ht="43.15" customHeight="1">
      <c r="B34" s="12"/>
      <c r="C34" s="13">
        <f t="shared" si="1"/>
        <v>19</v>
      </c>
      <c r="D34" s="31" t="s">
        <v>61</v>
      </c>
      <c r="E34" s="32"/>
      <c r="F34" s="4" t="s">
        <v>95</v>
      </c>
    </row>
    <row r="35" spans="1:6" s="11" customFormat="1" ht="30" customHeight="1">
      <c r="A35" s="19"/>
      <c r="B35" s="12"/>
      <c r="C35" s="33" t="s">
        <v>160</v>
      </c>
      <c r="D35" s="33"/>
      <c r="E35" s="33"/>
      <c r="F35" s="33"/>
    </row>
    <row r="36" spans="1:6" s="11" customFormat="1" ht="20.25" customHeight="1">
      <c r="A36" s="19"/>
      <c r="B36" s="12"/>
      <c r="C36" s="13">
        <f>C34+1</f>
        <v>20</v>
      </c>
      <c r="D36" s="31" t="s">
        <v>131</v>
      </c>
      <c r="E36" s="32"/>
      <c r="F36" s="4" t="s">
        <v>8</v>
      </c>
    </row>
    <row r="37" spans="1:6" s="11" customFormat="1" ht="20.25" customHeight="1">
      <c r="A37" s="19"/>
      <c r="B37" s="12"/>
      <c r="C37" s="13">
        <f>C36+1</f>
        <v>21</v>
      </c>
      <c r="D37" s="31" t="s">
        <v>116</v>
      </c>
      <c r="E37" s="32"/>
      <c r="F37" s="4" t="s">
        <v>60</v>
      </c>
    </row>
    <row r="38" spans="1:6" s="11" customFormat="1">
      <c r="A38" s="19"/>
      <c r="B38" s="12"/>
      <c r="C38" s="13">
        <f t="shared" ref="C38:C39" si="2">C37+1</f>
        <v>22</v>
      </c>
      <c r="D38" s="31" t="s">
        <v>119</v>
      </c>
      <c r="E38" s="32"/>
      <c r="F38" s="4" t="s">
        <v>8</v>
      </c>
    </row>
    <row r="39" spans="1:6" s="11" customFormat="1" ht="29.65" customHeight="1">
      <c r="A39" s="19"/>
      <c r="B39" s="12"/>
      <c r="C39" s="13">
        <f t="shared" si="2"/>
        <v>23</v>
      </c>
      <c r="D39" s="31" t="s">
        <v>136</v>
      </c>
      <c r="E39" s="32"/>
      <c r="F39" s="4" t="s">
        <v>8</v>
      </c>
    </row>
    <row r="40" spans="1:6" s="11" customFormat="1">
      <c r="A40" s="19"/>
      <c r="B40" s="12"/>
    </row>
  </sheetData>
  <mergeCells count="33">
    <mergeCell ref="D27:E27"/>
    <mergeCell ref="C23:F23"/>
    <mergeCell ref="D22:E22"/>
    <mergeCell ref="D25:E25"/>
    <mergeCell ref="D32:E32"/>
    <mergeCell ref="D31:E31"/>
    <mergeCell ref="D29:E29"/>
    <mergeCell ref="D30:E30"/>
    <mergeCell ref="D28:E28"/>
    <mergeCell ref="D38:E38"/>
    <mergeCell ref="C35:F35"/>
    <mergeCell ref="D39:E39"/>
    <mergeCell ref="D33:E33"/>
    <mergeCell ref="D37:E37"/>
    <mergeCell ref="D36:E36"/>
    <mergeCell ref="D34:E34"/>
    <mergeCell ref="B5:F5"/>
    <mergeCell ref="B6:F6"/>
    <mergeCell ref="B7:F7"/>
    <mergeCell ref="B8:F8"/>
    <mergeCell ref="C10:F10"/>
    <mergeCell ref="D26:E26"/>
    <mergeCell ref="D18:E18"/>
    <mergeCell ref="C12:F12"/>
    <mergeCell ref="C13:F13"/>
    <mergeCell ref="D14:E14"/>
    <mergeCell ref="D20:E20"/>
    <mergeCell ref="D21:E21"/>
    <mergeCell ref="D19:E19"/>
    <mergeCell ref="D15:E15"/>
    <mergeCell ref="D16:E16"/>
    <mergeCell ref="D17:E17"/>
    <mergeCell ref="D24:E24"/>
  </mergeCells>
  <pageMargins left="0.7" right="0.7" top="0.75" bottom="0.75" header="0.3" footer="0.3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DBF7-4BAE-4289-BBA0-50B7FFAF64D9}">
  <dimension ref="B1:IS28"/>
  <sheetViews>
    <sheetView topLeftCell="A12" zoomScale="80" zoomScaleNormal="80" zoomScaleSheetLayoutView="100" workbookViewId="0">
      <selection activeCell="E16" sqref="E16:F16"/>
    </sheetView>
  </sheetViews>
  <sheetFormatPr defaultColWidth="8.46484375" defaultRowHeight="20.25"/>
  <cols>
    <col min="1" max="1" width="8.46484375" style="19"/>
    <col min="2" max="2" width="8.796875" style="12" customWidth="1"/>
    <col min="3" max="3" width="10.46484375" style="12" customWidth="1"/>
    <col min="4" max="4" width="19.19921875" style="12" customWidth="1"/>
    <col min="5" max="5" width="21.46484375" style="12" customWidth="1"/>
    <col min="6" max="6" width="60.796875" style="11" customWidth="1"/>
    <col min="7" max="7" width="28.19921875" style="12" customWidth="1"/>
    <col min="8" max="253" width="8.796875" style="11" customWidth="1"/>
    <col min="254" max="16384" width="8.46484375" style="19"/>
  </cols>
  <sheetData>
    <row r="1" spans="2:7">
      <c r="F1" s="12"/>
    </row>
    <row r="5" spans="2:7" s="20" customFormat="1" ht="15">
      <c r="B5" s="29" t="s">
        <v>0</v>
      </c>
      <c r="C5" s="29"/>
      <c r="D5" s="29"/>
      <c r="E5" s="29"/>
      <c r="F5" s="29"/>
      <c r="G5" s="29"/>
    </row>
    <row r="6" spans="2:7" s="20" customFormat="1" ht="15">
      <c r="B6" s="29" t="s">
        <v>1</v>
      </c>
      <c r="C6" s="29"/>
      <c r="D6" s="29"/>
      <c r="E6" s="29"/>
      <c r="F6" s="29"/>
      <c r="G6" s="29"/>
    </row>
    <row r="7" spans="2:7" s="21" customFormat="1" ht="15">
      <c r="B7" s="29" t="s">
        <v>66</v>
      </c>
      <c r="C7" s="29"/>
      <c r="D7" s="29"/>
      <c r="E7" s="29"/>
      <c r="F7" s="29"/>
      <c r="G7" s="29"/>
    </row>
    <row r="8" spans="2:7" s="21" customFormat="1" ht="15">
      <c r="B8" s="29" t="s">
        <v>134</v>
      </c>
      <c r="C8" s="29"/>
      <c r="D8" s="29"/>
      <c r="E8" s="29"/>
      <c r="F8" s="29"/>
      <c r="G8" s="29"/>
    </row>
    <row r="9" spans="2:7" s="21" customFormat="1" ht="15">
      <c r="B9" s="6"/>
      <c r="C9" s="6"/>
      <c r="D9" s="6"/>
      <c r="E9" s="6"/>
      <c r="F9" s="6"/>
      <c r="G9" s="6"/>
    </row>
    <row r="10" spans="2:7" s="21" customFormat="1" ht="18" customHeight="1">
      <c r="C10" s="30" t="s">
        <v>2</v>
      </c>
      <c r="D10" s="30"/>
      <c r="E10" s="30"/>
      <c r="F10" s="30"/>
      <c r="G10" s="30"/>
    </row>
    <row r="11" spans="2:7" ht="32.549999999999997" customHeight="1">
      <c r="B11" s="1"/>
      <c r="C11" s="2"/>
      <c r="D11" s="2"/>
      <c r="E11" s="2"/>
      <c r="F11" s="25" t="s">
        <v>97</v>
      </c>
      <c r="G11" s="6"/>
    </row>
    <row r="12" spans="2:7" ht="27.4" customHeight="1">
      <c r="B12" s="1"/>
      <c r="C12" s="27" t="s">
        <v>67</v>
      </c>
      <c r="D12" s="28"/>
      <c r="E12" s="28"/>
      <c r="F12" s="28"/>
      <c r="G12" s="28"/>
    </row>
    <row r="13" spans="2:7" ht="27.4" customHeight="1">
      <c r="B13" s="1"/>
      <c r="C13" s="33" t="s">
        <v>159</v>
      </c>
      <c r="D13" s="33"/>
      <c r="E13" s="33"/>
      <c r="F13" s="33"/>
      <c r="G13" s="33"/>
    </row>
    <row r="14" spans="2:7" ht="27.4" customHeight="1">
      <c r="B14" s="1"/>
      <c r="C14" s="5" t="s">
        <v>3</v>
      </c>
      <c r="D14" s="17" t="s">
        <v>10</v>
      </c>
      <c r="E14" s="27" t="s">
        <v>11</v>
      </c>
      <c r="F14" s="34"/>
      <c r="G14" s="17" t="s">
        <v>12</v>
      </c>
    </row>
    <row r="15" spans="2:7" ht="25.9" customHeight="1">
      <c r="B15" s="1"/>
      <c r="C15" s="9">
        <v>1</v>
      </c>
      <c r="D15" s="3" t="s">
        <v>13</v>
      </c>
      <c r="E15" s="31" t="s">
        <v>14</v>
      </c>
      <c r="F15" s="32"/>
      <c r="G15" s="4" t="s">
        <v>15</v>
      </c>
    </row>
    <row r="16" spans="2:7" ht="22.5">
      <c r="B16" s="1"/>
      <c r="C16" s="9">
        <f>C15+1</f>
        <v>2</v>
      </c>
      <c r="D16" s="3" t="s">
        <v>16</v>
      </c>
      <c r="E16" s="31" t="s">
        <v>109</v>
      </c>
      <c r="F16" s="32"/>
      <c r="G16" s="4" t="s">
        <v>15</v>
      </c>
    </row>
    <row r="17" spans="2:7" ht="22.5">
      <c r="B17" s="1"/>
      <c r="C17" s="22">
        <f t="shared" ref="C17" si="0">C16+1</f>
        <v>3</v>
      </c>
      <c r="D17" s="23" t="s">
        <v>17</v>
      </c>
      <c r="E17" s="31" t="s">
        <v>68</v>
      </c>
      <c r="F17" s="32"/>
      <c r="G17" s="22" t="s">
        <v>15</v>
      </c>
    </row>
    <row r="18" spans="2:7" ht="22.5">
      <c r="B18" s="1"/>
      <c r="C18" s="9">
        <f>C16+1</f>
        <v>3</v>
      </c>
      <c r="D18" s="3" t="s">
        <v>18</v>
      </c>
      <c r="E18" s="31" t="s">
        <v>100</v>
      </c>
      <c r="F18" s="32"/>
      <c r="G18" s="4" t="s">
        <v>15</v>
      </c>
    </row>
    <row r="19" spans="2:7" ht="22.5">
      <c r="B19" s="1"/>
      <c r="C19" s="9">
        <v>4</v>
      </c>
      <c r="D19" s="3" t="s">
        <v>19</v>
      </c>
      <c r="E19" s="31" t="s">
        <v>101</v>
      </c>
      <c r="F19" s="32"/>
      <c r="G19" s="4" t="s">
        <v>15</v>
      </c>
    </row>
    <row r="20" spans="2:7" ht="22.5">
      <c r="B20" s="1"/>
      <c r="C20" s="9">
        <f>C19+1</f>
        <v>5</v>
      </c>
      <c r="D20" s="3" t="s">
        <v>69</v>
      </c>
      <c r="E20" s="31" t="s">
        <v>20</v>
      </c>
      <c r="F20" s="32"/>
      <c r="G20" s="4" t="s">
        <v>15</v>
      </c>
    </row>
    <row r="21" spans="2:7" ht="22.5">
      <c r="B21" s="1"/>
      <c r="C21" s="9">
        <f>C20+1</f>
        <v>6</v>
      </c>
      <c r="D21" s="3" t="s">
        <v>71</v>
      </c>
      <c r="E21" s="31" t="s">
        <v>21</v>
      </c>
      <c r="F21" s="32"/>
      <c r="G21" s="4" t="s">
        <v>15</v>
      </c>
    </row>
    <row r="22" spans="2:7" ht="30" customHeight="1">
      <c r="B22" s="1"/>
      <c r="C22" s="9">
        <v>7</v>
      </c>
      <c r="D22" s="3" t="s">
        <v>22</v>
      </c>
      <c r="E22" s="31" t="s">
        <v>106</v>
      </c>
      <c r="F22" s="32"/>
      <c r="G22" s="3" t="s">
        <v>107</v>
      </c>
    </row>
    <row r="23" spans="2:7" ht="22.5">
      <c r="B23" s="1"/>
      <c r="C23" s="9">
        <f>C22+1</f>
        <v>8</v>
      </c>
      <c r="D23" s="3" t="s">
        <v>23</v>
      </c>
      <c r="E23" s="31" t="s">
        <v>24</v>
      </c>
      <c r="F23" s="32"/>
      <c r="G23" s="4" t="s">
        <v>25</v>
      </c>
    </row>
    <row r="24" spans="2:7" ht="30" customHeight="1">
      <c r="B24" s="1"/>
      <c r="C24" s="9">
        <f t="shared" ref="C24:C28" si="1">C23+1</f>
        <v>9</v>
      </c>
      <c r="D24" s="3" t="s">
        <v>26</v>
      </c>
      <c r="E24" s="31" t="s">
        <v>70</v>
      </c>
      <c r="F24" s="32"/>
      <c r="G24" s="3" t="s">
        <v>108</v>
      </c>
    </row>
    <row r="25" spans="2:7" ht="22.5">
      <c r="B25" s="1"/>
      <c r="C25" s="9">
        <f t="shared" si="1"/>
        <v>10</v>
      </c>
      <c r="D25" s="3" t="s">
        <v>29</v>
      </c>
      <c r="E25" s="31" t="s">
        <v>27</v>
      </c>
      <c r="F25" s="32"/>
      <c r="G25" s="4" t="s">
        <v>28</v>
      </c>
    </row>
    <row r="26" spans="2:7" ht="30">
      <c r="B26" s="1"/>
      <c r="C26" s="9">
        <f t="shared" si="1"/>
        <v>11</v>
      </c>
      <c r="D26" s="3" t="s">
        <v>72</v>
      </c>
      <c r="E26" s="31" t="s">
        <v>102</v>
      </c>
      <c r="F26" s="32"/>
      <c r="G26" s="3" t="s">
        <v>104</v>
      </c>
    </row>
    <row r="27" spans="2:7" ht="22.5">
      <c r="B27" s="1"/>
      <c r="C27" s="9">
        <f t="shared" si="1"/>
        <v>12</v>
      </c>
      <c r="D27" s="3" t="s">
        <v>73</v>
      </c>
      <c r="E27" s="31" t="s">
        <v>103</v>
      </c>
      <c r="F27" s="32"/>
      <c r="G27" s="7" t="s">
        <v>105</v>
      </c>
    </row>
    <row r="28" spans="2:7" ht="23.25" customHeight="1">
      <c r="B28" s="1"/>
      <c r="C28" s="9">
        <f t="shared" si="1"/>
        <v>13</v>
      </c>
      <c r="D28" s="3" t="s">
        <v>74</v>
      </c>
      <c r="E28" s="36" t="s">
        <v>32</v>
      </c>
      <c r="F28" s="36"/>
      <c r="G28" s="36"/>
    </row>
  </sheetData>
  <mergeCells count="22">
    <mergeCell ref="E25:F25"/>
    <mergeCell ref="E26:F26"/>
    <mergeCell ref="E27:F27"/>
    <mergeCell ref="E28:G28"/>
    <mergeCell ref="E19:F19"/>
    <mergeCell ref="E20:F20"/>
    <mergeCell ref="E21:F21"/>
    <mergeCell ref="E22:F22"/>
    <mergeCell ref="E23:F23"/>
    <mergeCell ref="E24:F24"/>
    <mergeCell ref="E18:F18"/>
    <mergeCell ref="B5:G5"/>
    <mergeCell ref="B6:G6"/>
    <mergeCell ref="B7:G7"/>
    <mergeCell ref="B8:G8"/>
    <mergeCell ref="C10:G10"/>
    <mergeCell ref="C12:G12"/>
    <mergeCell ref="C13:G13"/>
    <mergeCell ref="E14:F14"/>
    <mergeCell ref="E15:F15"/>
    <mergeCell ref="E16:F16"/>
    <mergeCell ref="E17:F17"/>
  </mergeCells>
  <pageMargins left="0.7" right="0.7" top="0.75" bottom="0.75" header="0.3" footer="0.3"/>
  <pageSetup scale="4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A87CF-7DAC-4908-A6C3-B66B8C5D606F}">
  <dimension ref="A1:IS92"/>
  <sheetViews>
    <sheetView tabSelected="1" topLeftCell="A10" zoomScaleNormal="100" zoomScaleSheetLayoutView="100" workbookViewId="0">
      <selection activeCell="C29" sqref="C29"/>
    </sheetView>
  </sheetViews>
  <sheetFormatPr defaultColWidth="8.46484375" defaultRowHeight="20.25"/>
  <cols>
    <col min="1" max="1" width="8.46484375" style="19"/>
    <col min="2" max="2" width="8.796875" style="12" customWidth="1"/>
    <col min="3" max="3" width="10.46484375" style="12" customWidth="1"/>
    <col min="4" max="4" width="19.19921875" style="12" customWidth="1"/>
    <col min="5" max="5" width="21.46484375" style="12" customWidth="1"/>
    <col min="6" max="6" width="60.796875" style="11" customWidth="1"/>
    <col min="7" max="7" width="28.19921875" style="12" customWidth="1"/>
    <col min="8" max="253" width="8.796875" style="11" customWidth="1"/>
    <col min="254" max="16384" width="8.46484375" style="19"/>
  </cols>
  <sheetData>
    <row r="1" spans="2:7">
      <c r="F1" s="12"/>
    </row>
    <row r="5" spans="2:7" s="20" customFormat="1" ht="15">
      <c r="B5" s="29" t="s">
        <v>0</v>
      </c>
      <c r="C5" s="29"/>
      <c r="D5" s="29"/>
      <c r="E5" s="29"/>
      <c r="F5" s="29"/>
      <c r="G5" s="29"/>
    </row>
    <row r="6" spans="2:7" s="20" customFormat="1" ht="15">
      <c r="B6" s="29" t="s">
        <v>1</v>
      </c>
      <c r="C6" s="29"/>
      <c r="D6" s="29"/>
      <c r="E6" s="29"/>
      <c r="F6" s="29"/>
      <c r="G6" s="29"/>
    </row>
    <row r="7" spans="2:7" s="21" customFormat="1" ht="15">
      <c r="B7" s="29" t="s">
        <v>66</v>
      </c>
      <c r="C7" s="29"/>
      <c r="D7" s="29"/>
      <c r="E7" s="29"/>
      <c r="F7" s="29"/>
      <c r="G7" s="29"/>
    </row>
    <row r="8" spans="2:7" s="21" customFormat="1" ht="15">
      <c r="B8" s="29" t="s">
        <v>158</v>
      </c>
      <c r="C8" s="29"/>
      <c r="D8" s="29"/>
      <c r="E8" s="29"/>
      <c r="F8" s="29"/>
      <c r="G8" s="29"/>
    </row>
    <row r="9" spans="2:7" s="21" customFormat="1" ht="15">
      <c r="B9" s="6"/>
      <c r="C9" s="6"/>
      <c r="D9" s="6"/>
      <c r="E9" s="6"/>
      <c r="F9" s="6"/>
      <c r="G9" s="6"/>
    </row>
    <row r="10" spans="2:7" s="21" customFormat="1" ht="18" customHeight="1">
      <c r="C10" s="30" t="s">
        <v>2</v>
      </c>
      <c r="D10" s="30"/>
      <c r="E10" s="30"/>
      <c r="F10" s="30"/>
      <c r="G10" s="30"/>
    </row>
    <row r="11" spans="2:7" ht="32.549999999999997" customHeight="1">
      <c r="B11" s="1"/>
      <c r="C11" s="2"/>
      <c r="D11" s="2"/>
      <c r="E11" s="2"/>
      <c r="F11" s="25" t="s">
        <v>97</v>
      </c>
      <c r="G11" s="6"/>
    </row>
    <row r="12" spans="2:7" ht="27.4" customHeight="1">
      <c r="B12" s="1"/>
      <c r="C12" s="27" t="s">
        <v>67</v>
      </c>
      <c r="D12" s="28"/>
      <c r="E12" s="28"/>
      <c r="F12" s="28"/>
      <c r="G12" s="28"/>
    </row>
    <row r="13" spans="2:7" ht="27.4" customHeight="1">
      <c r="B13" s="1"/>
      <c r="C13" s="33" t="s">
        <v>157</v>
      </c>
      <c r="D13" s="33"/>
      <c r="E13" s="33"/>
      <c r="F13" s="33"/>
      <c r="G13" s="33"/>
    </row>
    <row r="14" spans="2:7" ht="27.4" customHeight="1">
      <c r="B14" s="1"/>
      <c r="C14" s="5" t="s">
        <v>3</v>
      </c>
      <c r="D14" s="17" t="s">
        <v>10</v>
      </c>
      <c r="E14" s="27" t="s">
        <v>11</v>
      </c>
      <c r="F14" s="34"/>
      <c r="G14" s="17" t="s">
        <v>12</v>
      </c>
    </row>
    <row r="15" spans="2:7" ht="25.9" customHeight="1">
      <c r="B15" s="1"/>
      <c r="C15" s="9">
        <v>1</v>
      </c>
      <c r="D15" s="3" t="s">
        <v>13</v>
      </c>
      <c r="E15" s="31" t="s">
        <v>14</v>
      </c>
      <c r="F15" s="32"/>
      <c r="G15" s="4" t="s">
        <v>15</v>
      </c>
    </row>
    <row r="16" spans="2:7" ht="22.5">
      <c r="B16" s="1"/>
      <c r="C16" s="9">
        <f>C15+1</f>
        <v>2</v>
      </c>
      <c r="D16" s="3" t="s">
        <v>16</v>
      </c>
      <c r="E16" s="31" t="s">
        <v>109</v>
      </c>
      <c r="F16" s="32"/>
      <c r="G16" s="4" t="s">
        <v>15</v>
      </c>
    </row>
    <row r="17" spans="2:7" ht="22.5">
      <c r="B17" s="1"/>
      <c r="C17" s="22">
        <f t="shared" ref="C17" si="0">C16+1</f>
        <v>3</v>
      </c>
      <c r="D17" s="23" t="s">
        <v>17</v>
      </c>
      <c r="E17" s="31" t="s">
        <v>68</v>
      </c>
      <c r="F17" s="32"/>
      <c r="G17" s="22" t="s">
        <v>15</v>
      </c>
    </row>
    <row r="18" spans="2:7" ht="22.5">
      <c r="B18" s="1"/>
      <c r="C18" s="9">
        <f>C16+1</f>
        <v>3</v>
      </c>
      <c r="D18" s="3" t="s">
        <v>18</v>
      </c>
      <c r="E18" s="31" t="s">
        <v>100</v>
      </c>
      <c r="F18" s="32"/>
      <c r="G18" s="4" t="s">
        <v>15</v>
      </c>
    </row>
    <row r="19" spans="2:7" ht="22.5">
      <c r="B19" s="1"/>
      <c r="C19" s="9">
        <v>4</v>
      </c>
      <c r="D19" s="3" t="s">
        <v>19</v>
      </c>
      <c r="E19" s="31" t="s">
        <v>101</v>
      </c>
      <c r="F19" s="32"/>
      <c r="G19" s="4" t="s">
        <v>15</v>
      </c>
    </row>
    <row r="20" spans="2:7" ht="22.5">
      <c r="B20" s="1"/>
      <c r="C20" s="9">
        <f>C19+1</f>
        <v>5</v>
      </c>
      <c r="D20" s="3" t="s">
        <v>69</v>
      </c>
      <c r="E20" s="31" t="s">
        <v>20</v>
      </c>
      <c r="F20" s="32"/>
      <c r="G20" s="4" t="s">
        <v>15</v>
      </c>
    </row>
    <row r="21" spans="2:7" ht="22.5">
      <c r="B21" s="1"/>
      <c r="C21" s="9">
        <f>C20+1</f>
        <v>6</v>
      </c>
      <c r="D21" s="3" t="s">
        <v>71</v>
      </c>
      <c r="E21" s="31" t="s">
        <v>21</v>
      </c>
      <c r="F21" s="32"/>
      <c r="G21" s="4" t="s">
        <v>15</v>
      </c>
    </row>
    <row r="22" spans="2:7" ht="30" customHeight="1">
      <c r="B22" s="1"/>
      <c r="C22" s="9">
        <v>7</v>
      </c>
      <c r="D22" s="3" t="s">
        <v>22</v>
      </c>
      <c r="E22" s="31" t="s">
        <v>106</v>
      </c>
      <c r="F22" s="32"/>
      <c r="G22" s="3" t="s">
        <v>107</v>
      </c>
    </row>
    <row r="23" spans="2:7" ht="22.5">
      <c r="B23" s="1"/>
      <c r="C23" s="9">
        <f>C22+1</f>
        <v>8</v>
      </c>
      <c r="D23" s="3" t="s">
        <v>23</v>
      </c>
      <c r="E23" s="31" t="s">
        <v>24</v>
      </c>
      <c r="F23" s="32"/>
      <c r="G23" s="4" t="s">
        <v>25</v>
      </c>
    </row>
    <row r="24" spans="2:7" ht="30" customHeight="1">
      <c r="B24" s="1"/>
      <c r="C24" s="9">
        <f t="shared" ref="C24:C48" si="1">C23+1</f>
        <v>9</v>
      </c>
      <c r="D24" s="3" t="s">
        <v>26</v>
      </c>
      <c r="E24" s="31" t="s">
        <v>70</v>
      </c>
      <c r="F24" s="32"/>
      <c r="G24" s="3" t="s">
        <v>108</v>
      </c>
    </row>
    <row r="25" spans="2:7" ht="22.5">
      <c r="B25" s="1"/>
      <c r="C25" s="9">
        <f t="shared" si="1"/>
        <v>10</v>
      </c>
      <c r="D25" s="3" t="s">
        <v>29</v>
      </c>
      <c r="E25" s="31" t="s">
        <v>27</v>
      </c>
      <c r="F25" s="32"/>
      <c r="G25" s="4" t="s">
        <v>28</v>
      </c>
    </row>
    <row r="26" spans="2:7" ht="30">
      <c r="B26" s="1"/>
      <c r="C26" s="9">
        <f t="shared" si="1"/>
        <v>11</v>
      </c>
      <c r="D26" s="3" t="s">
        <v>72</v>
      </c>
      <c r="E26" s="31" t="s">
        <v>98</v>
      </c>
      <c r="F26" s="32"/>
      <c r="G26" s="3" t="s">
        <v>104</v>
      </c>
    </row>
    <row r="27" spans="2:7" ht="22.5">
      <c r="B27" s="1"/>
      <c r="C27" s="9">
        <f t="shared" si="1"/>
        <v>12</v>
      </c>
      <c r="D27" s="3" t="s">
        <v>73</v>
      </c>
      <c r="E27" s="31" t="s">
        <v>30</v>
      </c>
      <c r="F27" s="32"/>
      <c r="G27" s="7" t="s">
        <v>105</v>
      </c>
    </row>
    <row r="28" spans="2:7" ht="23.25" customHeight="1">
      <c r="B28" s="1"/>
      <c r="C28" s="9">
        <f t="shared" si="1"/>
        <v>13</v>
      </c>
      <c r="D28" s="3" t="s">
        <v>74</v>
      </c>
      <c r="E28" s="36" t="s">
        <v>32</v>
      </c>
      <c r="F28" s="36"/>
      <c r="G28" s="36"/>
    </row>
    <row r="29" spans="2:7" ht="22.5">
      <c r="B29" s="1"/>
      <c r="C29" s="9">
        <f t="shared" si="1"/>
        <v>14</v>
      </c>
      <c r="D29" s="3" t="s">
        <v>75</v>
      </c>
      <c r="E29" s="37" t="s">
        <v>33</v>
      </c>
      <c r="F29" s="38"/>
      <c r="G29" s="7" t="s">
        <v>105</v>
      </c>
    </row>
    <row r="30" spans="2:7" s="11" customFormat="1">
      <c r="B30" s="12"/>
      <c r="C30" s="9">
        <f t="shared" si="1"/>
        <v>15</v>
      </c>
      <c r="D30" s="3" t="s">
        <v>76</v>
      </c>
      <c r="E30" s="31" t="s">
        <v>34</v>
      </c>
      <c r="F30" s="32"/>
      <c r="G30" s="3" t="s">
        <v>8</v>
      </c>
    </row>
    <row r="31" spans="2:7" s="11" customFormat="1">
      <c r="B31" s="12"/>
      <c r="C31" s="9">
        <f t="shared" si="1"/>
        <v>16</v>
      </c>
      <c r="D31" s="3" t="s">
        <v>77</v>
      </c>
      <c r="E31" s="39" t="s">
        <v>46</v>
      </c>
      <c r="F31" s="39"/>
      <c r="G31" s="10" t="s">
        <v>8</v>
      </c>
    </row>
    <row r="32" spans="2:7" s="11" customFormat="1">
      <c r="B32" s="12"/>
      <c r="C32" s="9">
        <f t="shared" si="1"/>
        <v>17</v>
      </c>
      <c r="D32" s="3" t="s">
        <v>63</v>
      </c>
      <c r="E32" s="35" t="s">
        <v>35</v>
      </c>
      <c r="F32" s="35"/>
      <c r="G32" s="7" t="s">
        <v>105</v>
      </c>
    </row>
    <row r="33" spans="2:7" s="11" customFormat="1">
      <c r="B33" s="12"/>
      <c r="C33" s="9">
        <f t="shared" si="1"/>
        <v>18</v>
      </c>
      <c r="D33" s="3" t="s">
        <v>78</v>
      </c>
      <c r="E33" s="39" t="s">
        <v>47</v>
      </c>
      <c r="F33" s="39"/>
      <c r="G33" s="10" t="s">
        <v>8</v>
      </c>
    </row>
    <row r="34" spans="2:7" s="11" customFormat="1">
      <c r="B34" s="12"/>
      <c r="C34" s="9">
        <f t="shared" si="1"/>
        <v>19</v>
      </c>
      <c r="D34" s="3" t="s">
        <v>79</v>
      </c>
      <c r="E34" s="35" t="s">
        <v>35</v>
      </c>
      <c r="F34" s="35"/>
      <c r="G34" s="7" t="s">
        <v>105</v>
      </c>
    </row>
    <row r="35" spans="2:7" s="11" customFormat="1">
      <c r="B35" s="12"/>
      <c r="C35" s="9">
        <f t="shared" si="1"/>
        <v>20</v>
      </c>
      <c r="D35" s="3" t="s">
        <v>80</v>
      </c>
      <c r="E35" s="39" t="s">
        <v>48</v>
      </c>
      <c r="F35" s="39"/>
      <c r="G35" s="4" t="s">
        <v>49</v>
      </c>
    </row>
    <row r="36" spans="2:7" s="11" customFormat="1" ht="20.25" customHeight="1">
      <c r="B36" s="12"/>
      <c r="C36" s="9">
        <f t="shared" si="1"/>
        <v>21</v>
      </c>
      <c r="D36" s="3" t="s">
        <v>81</v>
      </c>
      <c r="E36" s="35" t="s">
        <v>35</v>
      </c>
      <c r="F36" s="35"/>
      <c r="G36" s="7" t="s">
        <v>105</v>
      </c>
    </row>
    <row r="37" spans="2:7" s="11" customFormat="1">
      <c r="B37" s="12"/>
      <c r="C37" s="9">
        <f t="shared" si="1"/>
        <v>22</v>
      </c>
      <c r="D37" s="3" t="s">
        <v>82</v>
      </c>
      <c r="E37" s="31" t="s">
        <v>50</v>
      </c>
      <c r="F37" s="32"/>
      <c r="G37" s="4" t="s">
        <v>51</v>
      </c>
    </row>
    <row r="38" spans="2:7" s="11" customFormat="1">
      <c r="B38" s="12"/>
      <c r="C38" s="9">
        <f t="shared" si="1"/>
        <v>23</v>
      </c>
      <c r="D38" s="3" t="s">
        <v>83</v>
      </c>
      <c r="E38" s="35" t="s">
        <v>35</v>
      </c>
      <c r="F38" s="35"/>
      <c r="G38" s="7" t="s">
        <v>105</v>
      </c>
    </row>
    <row r="39" spans="2:7" s="11" customFormat="1">
      <c r="B39" s="12"/>
      <c r="C39" s="9">
        <f t="shared" si="1"/>
        <v>24</v>
      </c>
      <c r="D39" s="3" t="s">
        <v>84</v>
      </c>
      <c r="E39" s="43" t="s">
        <v>36</v>
      </c>
      <c r="F39" s="43"/>
      <c r="G39" s="43"/>
    </row>
    <row r="40" spans="2:7" s="11" customFormat="1">
      <c r="B40" s="12"/>
      <c r="C40" s="9">
        <f t="shared" si="1"/>
        <v>25</v>
      </c>
      <c r="D40" s="3" t="s">
        <v>64</v>
      </c>
      <c r="E40" s="39" t="s">
        <v>52</v>
      </c>
      <c r="F40" s="39"/>
      <c r="G40" s="4" t="s">
        <v>53</v>
      </c>
    </row>
    <row r="41" spans="2:7" s="11" customFormat="1" ht="20.25" customHeight="1">
      <c r="B41" s="12"/>
      <c r="C41" s="9">
        <f t="shared" si="1"/>
        <v>26</v>
      </c>
      <c r="D41" s="3" t="s">
        <v>65</v>
      </c>
      <c r="E41" s="44" t="s">
        <v>35</v>
      </c>
      <c r="F41" s="45"/>
      <c r="G41" s="7" t="s">
        <v>105</v>
      </c>
    </row>
    <row r="42" spans="2:7" s="11" customFormat="1">
      <c r="B42" s="12"/>
      <c r="C42" s="9">
        <f t="shared" si="1"/>
        <v>27</v>
      </c>
      <c r="D42" s="3" t="s">
        <v>85</v>
      </c>
      <c r="E42" s="46" t="s">
        <v>54</v>
      </c>
      <c r="F42" s="46"/>
      <c r="G42" s="4" t="s">
        <v>5</v>
      </c>
    </row>
    <row r="43" spans="2:7" s="11" customFormat="1" ht="20.25" customHeight="1">
      <c r="B43" s="12"/>
      <c r="C43" s="9">
        <f t="shared" si="1"/>
        <v>28</v>
      </c>
      <c r="D43" s="3" t="s">
        <v>86</v>
      </c>
      <c r="E43" s="44" t="s">
        <v>35</v>
      </c>
      <c r="F43" s="45"/>
      <c r="G43" s="7" t="s">
        <v>31</v>
      </c>
    </row>
    <row r="44" spans="2:7" s="11" customFormat="1" ht="20.25" customHeight="1">
      <c r="B44" s="12"/>
      <c r="C44" s="9">
        <f t="shared" si="1"/>
        <v>29</v>
      </c>
      <c r="D44" s="3" t="s">
        <v>87</v>
      </c>
      <c r="E44" s="31" t="s">
        <v>121</v>
      </c>
      <c r="F44" s="32"/>
      <c r="G44" s="4" t="s">
        <v>44</v>
      </c>
    </row>
    <row r="45" spans="2:7" s="11" customFormat="1" ht="22.5" customHeight="1">
      <c r="B45" s="12"/>
      <c r="C45" s="9">
        <f>C44+1</f>
        <v>30</v>
      </c>
      <c r="D45" s="3" t="s">
        <v>88</v>
      </c>
      <c r="E45" s="44" t="s">
        <v>35</v>
      </c>
      <c r="F45" s="45"/>
      <c r="G45" s="7" t="s">
        <v>105</v>
      </c>
    </row>
    <row r="46" spans="2:7" s="11" customFormat="1" ht="20.25" customHeight="1">
      <c r="B46" s="12"/>
      <c r="C46" s="9">
        <f t="shared" si="1"/>
        <v>31</v>
      </c>
      <c r="D46" s="3" t="s">
        <v>89</v>
      </c>
      <c r="E46" s="31" t="s">
        <v>123</v>
      </c>
      <c r="F46" s="32"/>
      <c r="G46" s="4" t="s">
        <v>55</v>
      </c>
    </row>
    <row r="47" spans="2:7" s="11" customFormat="1">
      <c r="B47" s="12"/>
      <c r="C47" s="9">
        <f t="shared" si="1"/>
        <v>32</v>
      </c>
      <c r="D47" s="3" t="s">
        <v>90</v>
      </c>
      <c r="E47" s="47" t="s">
        <v>4</v>
      </c>
      <c r="F47" s="48"/>
      <c r="G47" s="7" t="s">
        <v>105</v>
      </c>
    </row>
    <row r="48" spans="2:7" s="11" customFormat="1">
      <c r="B48" s="12"/>
      <c r="C48" s="9">
        <f t="shared" si="1"/>
        <v>33</v>
      </c>
      <c r="D48" s="10" t="s">
        <v>91</v>
      </c>
      <c r="E48" s="40" t="s">
        <v>40</v>
      </c>
      <c r="F48" s="41"/>
      <c r="G48" s="42"/>
    </row>
    <row r="49" spans="2:7" s="11" customFormat="1">
      <c r="B49" s="12"/>
      <c r="C49" s="33" t="s">
        <v>156</v>
      </c>
      <c r="D49" s="33"/>
      <c r="E49" s="33"/>
      <c r="F49" s="33"/>
      <c r="G49" s="33"/>
    </row>
    <row r="50" spans="2:7" s="11" customFormat="1">
      <c r="B50" s="12"/>
      <c r="C50" s="5" t="s">
        <v>3</v>
      </c>
      <c r="D50" s="17" t="s">
        <v>10</v>
      </c>
      <c r="E50" s="27" t="s">
        <v>11</v>
      </c>
      <c r="F50" s="28"/>
      <c r="G50" s="17" t="s">
        <v>12</v>
      </c>
    </row>
    <row r="51" spans="2:7" s="11" customFormat="1" ht="20.25" customHeight="1">
      <c r="B51" s="12"/>
      <c r="C51" s="13">
        <f>C48+1</f>
        <v>34</v>
      </c>
      <c r="D51" s="3" t="s">
        <v>37</v>
      </c>
      <c r="E51" s="31" t="s">
        <v>111</v>
      </c>
      <c r="F51" s="32"/>
      <c r="G51" s="4" t="s">
        <v>38</v>
      </c>
    </row>
    <row r="52" spans="2:7" s="11" customFormat="1" ht="20.25" customHeight="1">
      <c r="B52" s="12"/>
      <c r="C52" s="13">
        <f>C51+1</f>
        <v>35</v>
      </c>
      <c r="D52" s="3" t="s">
        <v>92</v>
      </c>
      <c r="E52" s="31" t="s">
        <v>57</v>
      </c>
      <c r="F52" s="32"/>
      <c r="G52" s="4" t="s">
        <v>7</v>
      </c>
    </row>
    <row r="53" spans="2:7" s="11" customFormat="1" ht="20.25" customHeight="1">
      <c r="B53" s="12"/>
      <c r="C53" s="13">
        <f>C52+1</f>
        <v>36</v>
      </c>
      <c r="D53" s="3" t="s">
        <v>93</v>
      </c>
      <c r="E53" s="14" t="s">
        <v>4</v>
      </c>
      <c r="F53" s="15"/>
      <c r="G53" s="7" t="s">
        <v>105</v>
      </c>
    </row>
    <row r="54" spans="2:7" s="11" customFormat="1" ht="27.75" customHeight="1">
      <c r="B54" s="12"/>
      <c r="C54" s="13">
        <f t="shared" ref="C54:C75" si="2">C53+1</f>
        <v>37</v>
      </c>
      <c r="D54" s="3" t="s">
        <v>94</v>
      </c>
      <c r="E54" s="31" t="s">
        <v>133</v>
      </c>
      <c r="F54" s="32"/>
      <c r="G54" s="4" t="s">
        <v>120</v>
      </c>
    </row>
    <row r="55" spans="2:7" s="11" customFormat="1" ht="20.25" customHeight="1">
      <c r="B55" s="12"/>
      <c r="C55" s="13">
        <f t="shared" si="2"/>
        <v>38</v>
      </c>
      <c r="D55" s="3" t="s">
        <v>124</v>
      </c>
      <c r="E55" s="14" t="s">
        <v>4</v>
      </c>
      <c r="F55" s="15"/>
      <c r="G55" s="7" t="s">
        <v>105</v>
      </c>
    </row>
    <row r="56" spans="2:7" s="11" customFormat="1">
      <c r="B56" s="12"/>
      <c r="C56" s="13">
        <f t="shared" si="2"/>
        <v>39</v>
      </c>
      <c r="D56" s="3" t="s">
        <v>125</v>
      </c>
      <c r="E56" s="49" t="s">
        <v>39</v>
      </c>
      <c r="F56" s="50"/>
      <c r="G56" s="50"/>
    </row>
    <row r="57" spans="2:7" s="11" customFormat="1">
      <c r="B57" s="12"/>
      <c r="C57" s="13">
        <f t="shared" si="2"/>
        <v>40</v>
      </c>
      <c r="D57" s="8" t="s">
        <v>142</v>
      </c>
      <c r="E57" s="51" t="s">
        <v>122</v>
      </c>
      <c r="F57" s="52"/>
      <c r="G57" s="4" t="s">
        <v>6</v>
      </c>
    </row>
    <row r="58" spans="2:7" s="11" customFormat="1">
      <c r="B58" s="12"/>
      <c r="C58" s="13">
        <f t="shared" si="2"/>
        <v>41</v>
      </c>
      <c r="D58" s="3" t="s">
        <v>143</v>
      </c>
      <c r="E58" s="47" t="s">
        <v>4</v>
      </c>
      <c r="F58" s="48"/>
      <c r="G58" s="7" t="s">
        <v>105</v>
      </c>
    </row>
    <row r="59" spans="2:7" s="11" customFormat="1" ht="22.5" customHeight="1">
      <c r="B59" s="12"/>
      <c r="C59" s="13">
        <f t="shared" si="2"/>
        <v>42</v>
      </c>
      <c r="D59" s="3" t="s">
        <v>144</v>
      </c>
      <c r="E59" s="31" t="s">
        <v>139</v>
      </c>
      <c r="F59" s="32"/>
      <c r="G59" s="16" t="s">
        <v>58</v>
      </c>
    </row>
    <row r="60" spans="2:7" s="11" customFormat="1" ht="22.5" customHeight="1">
      <c r="B60" s="12"/>
      <c r="C60" s="13">
        <f>C59+1</f>
        <v>43</v>
      </c>
      <c r="D60" s="3" t="s">
        <v>114</v>
      </c>
      <c r="E60" s="47" t="s">
        <v>4</v>
      </c>
      <c r="F60" s="48"/>
      <c r="G60" s="7" t="s">
        <v>105</v>
      </c>
    </row>
    <row r="61" spans="2:7" s="11" customFormat="1">
      <c r="B61" s="12"/>
      <c r="C61" s="13">
        <f t="shared" si="2"/>
        <v>44</v>
      </c>
      <c r="D61" s="3" t="s">
        <v>145</v>
      </c>
      <c r="E61" s="31" t="s">
        <v>62</v>
      </c>
      <c r="F61" s="32"/>
      <c r="G61" s="4" t="s">
        <v>8</v>
      </c>
    </row>
    <row r="62" spans="2:7" s="11" customFormat="1">
      <c r="B62" s="12"/>
      <c r="C62" s="13">
        <f t="shared" si="2"/>
        <v>45</v>
      </c>
      <c r="D62" s="3" t="s">
        <v>146</v>
      </c>
      <c r="E62" s="47" t="s">
        <v>4</v>
      </c>
      <c r="F62" s="48"/>
      <c r="G62" s="7" t="s">
        <v>105</v>
      </c>
    </row>
    <row r="63" spans="2:7" s="11" customFormat="1">
      <c r="B63" s="12"/>
      <c r="C63" s="13">
        <f t="shared" si="2"/>
        <v>46</v>
      </c>
      <c r="D63" s="3" t="s">
        <v>147</v>
      </c>
      <c r="E63" s="31" t="s">
        <v>113</v>
      </c>
      <c r="F63" s="32"/>
      <c r="G63" s="4" t="s">
        <v>8</v>
      </c>
    </row>
    <row r="64" spans="2:7" s="11" customFormat="1">
      <c r="B64" s="12"/>
      <c r="C64" s="13">
        <f t="shared" si="2"/>
        <v>47</v>
      </c>
      <c r="D64" s="3" t="s">
        <v>148</v>
      </c>
      <c r="E64" s="53" t="s">
        <v>35</v>
      </c>
      <c r="F64" s="54"/>
      <c r="G64" s="7" t="s">
        <v>105</v>
      </c>
    </row>
    <row r="65" spans="1:7" s="11" customFormat="1">
      <c r="B65" s="12"/>
      <c r="C65" s="13">
        <f t="shared" si="2"/>
        <v>48</v>
      </c>
      <c r="D65" s="3" t="s">
        <v>126</v>
      </c>
      <c r="E65" s="40" t="s">
        <v>36</v>
      </c>
      <c r="F65" s="41"/>
      <c r="G65" s="41"/>
    </row>
    <row r="66" spans="1:7" s="11" customFormat="1" ht="29.25" customHeight="1">
      <c r="B66" s="12"/>
      <c r="C66" s="13">
        <f t="shared" si="2"/>
        <v>49</v>
      </c>
      <c r="D66" s="3" t="s">
        <v>127</v>
      </c>
      <c r="E66" s="31" t="s">
        <v>117</v>
      </c>
      <c r="F66" s="32"/>
      <c r="G66" s="4" t="s">
        <v>45</v>
      </c>
    </row>
    <row r="67" spans="1:7" s="11" customFormat="1" ht="20.25" customHeight="1">
      <c r="B67" s="12"/>
      <c r="C67" s="13">
        <f t="shared" si="2"/>
        <v>50</v>
      </c>
      <c r="D67" s="3" t="s">
        <v>128</v>
      </c>
      <c r="E67" s="53" t="s">
        <v>35</v>
      </c>
      <c r="F67" s="54"/>
      <c r="G67" s="7" t="s">
        <v>105</v>
      </c>
    </row>
    <row r="68" spans="1:7" s="11" customFormat="1">
      <c r="B68" s="12"/>
      <c r="C68" s="13">
        <f t="shared" si="2"/>
        <v>51</v>
      </c>
      <c r="D68" s="3" t="s">
        <v>129</v>
      </c>
      <c r="E68" s="31" t="s">
        <v>118</v>
      </c>
      <c r="F68" s="32"/>
      <c r="G68" s="4" t="s">
        <v>9</v>
      </c>
    </row>
    <row r="69" spans="1:7" s="11" customFormat="1">
      <c r="B69" s="12"/>
      <c r="C69" s="13">
        <f t="shared" si="2"/>
        <v>52</v>
      </c>
      <c r="D69" s="3" t="s">
        <v>130</v>
      </c>
      <c r="E69" s="53" t="s">
        <v>35</v>
      </c>
      <c r="F69" s="54"/>
      <c r="G69" s="7" t="s">
        <v>105</v>
      </c>
    </row>
    <row r="70" spans="1:7" s="11" customFormat="1">
      <c r="B70" s="12"/>
      <c r="C70" s="13">
        <f t="shared" si="2"/>
        <v>53</v>
      </c>
      <c r="D70" s="3" t="s">
        <v>149</v>
      </c>
      <c r="E70" s="31" t="s">
        <v>110</v>
      </c>
      <c r="F70" s="32"/>
      <c r="G70" s="4" t="s">
        <v>9</v>
      </c>
    </row>
    <row r="71" spans="1:7" s="11" customFormat="1">
      <c r="B71" s="12"/>
      <c r="C71" s="13">
        <f t="shared" si="2"/>
        <v>54</v>
      </c>
      <c r="D71" s="3" t="s">
        <v>150</v>
      </c>
      <c r="E71" s="14" t="s">
        <v>4</v>
      </c>
      <c r="F71" s="15"/>
      <c r="G71" s="7" t="s">
        <v>105</v>
      </c>
    </row>
    <row r="72" spans="1:7" s="11" customFormat="1" ht="30" customHeight="1">
      <c r="B72" s="12"/>
      <c r="C72" s="13">
        <f t="shared" si="2"/>
        <v>55</v>
      </c>
      <c r="D72" s="3" t="s">
        <v>151</v>
      </c>
      <c r="E72" s="31" t="s">
        <v>140</v>
      </c>
      <c r="F72" s="32"/>
      <c r="G72" s="4" t="s">
        <v>137</v>
      </c>
    </row>
    <row r="73" spans="1:7" s="11" customFormat="1" ht="30" customHeight="1">
      <c r="B73" s="12"/>
      <c r="C73" s="13">
        <f t="shared" si="2"/>
        <v>56</v>
      </c>
      <c r="D73" s="3" t="s">
        <v>152</v>
      </c>
      <c r="E73" s="31" t="s">
        <v>115</v>
      </c>
      <c r="F73" s="32"/>
      <c r="G73" s="4" t="s">
        <v>95</v>
      </c>
    </row>
    <row r="74" spans="1:7" s="11" customFormat="1">
      <c r="B74" s="12"/>
      <c r="C74" s="13">
        <f t="shared" si="2"/>
        <v>57</v>
      </c>
      <c r="D74" s="3" t="s">
        <v>153</v>
      </c>
      <c r="E74" s="53" t="s">
        <v>35</v>
      </c>
      <c r="F74" s="54"/>
      <c r="G74" s="7" t="s">
        <v>105</v>
      </c>
    </row>
    <row r="75" spans="1:7" s="11" customFormat="1" ht="20.25" customHeight="1">
      <c r="B75" s="12"/>
      <c r="C75" s="13">
        <f t="shared" si="2"/>
        <v>58</v>
      </c>
      <c r="D75" s="3" t="s">
        <v>141</v>
      </c>
      <c r="E75" s="40" t="s">
        <v>40</v>
      </c>
      <c r="F75" s="41"/>
      <c r="G75" s="42"/>
    </row>
    <row r="76" spans="1:7" s="11" customFormat="1">
      <c r="A76" s="19"/>
      <c r="B76" s="12"/>
      <c r="C76" s="33" t="s">
        <v>155</v>
      </c>
      <c r="D76" s="33"/>
      <c r="E76" s="33"/>
      <c r="F76" s="33"/>
      <c r="G76" s="33"/>
    </row>
    <row r="77" spans="1:7" s="11" customFormat="1">
      <c r="A77" s="19"/>
      <c r="B77" s="12"/>
      <c r="C77" s="5" t="s">
        <v>3</v>
      </c>
      <c r="D77" s="17" t="s">
        <v>10</v>
      </c>
      <c r="E77" s="27" t="s">
        <v>11</v>
      </c>
      <c r="F77" s="28"/>
      <c r="G77" s="17" t="s">
        <v>12</v>
      </c>
    </row>
    <row r="78" spans="1:7" s="11" customFormat="1" ht="20.25" customHeight="1">
      <c r="A78" s="19"/>
      <c r="B78" s="12"/>
      <c r="C78" s="13">
        <f>+C75+1</f>
        <v>59</v>
      </c>
      <c r="D78" s="3" t="s">
        <v>37</v>
      </c>
      <c r="E78" s="31" t="s">
        <v>99</v>
      </c>
      <c r="F78" s="32"/>
      <c r="G78" s="4" t="s">
        <v>38</v>
      </c>
    </row>
    <row r="79" spans="1:7" s="11" customFormat="1" ht="20.25" customHeight="1">
      <c r="A79" s="19"/>
      <c r="B79" s="12"/>
      <c r="C79" s="13">
        <f>C78+1</f>
        <v>60</v>
      </c>
      <c r="D79" s="3" t="s">
        <v>162</v>
      </c>
      <c r="E79" s="31" t="s">
        <v>131</v>
      </c>
      <c r="F79" s="32"/>
      <c r="G79" s="4" t="s">
        <v>8</v>
      </c>
    </row>
    <row r="80" spans="1:7" s="11" customFormat="1">
      <c r="A80" s="19"/>
      <c r="B80" s="12"/>
      <c r="C80" s="13">
        <f t="shared" ref="C80:C87" si="3">C79+1</f>
        <v>61</v>
      </c>
      <c r="D80" s="3" t="s">
        <v>163</v>
      </c>
      <c r="E80" s="49" t="s">
        <v>39</v>
      </c>
      <c r="F80" s="50"/>
      <c r="G80" s="50"/>
    </row>
    <row r="81" spans="1:7">
      <c r="C81" s="13">
        <f t="shared" si="3"/>
        <v>62</v>
      </c>
      <c r="D81" s="3" t="s">
        <v>164</v>
      </c>
      <c r="E81" s="31" t="s">
        <v>116</v>
      </c>
      <c r="F81" s="32"/>
      <c r="G81" s="4" t="s">
        <v>60</v>
      </c>
    </row>
    <row r="82" spans="1:7" s="11" customFormat="1">
      <c r="A82" s="19"/>
      <c r="B82" s="12"/>
      <c r="C82" s="13">
        <f t="shared" si="3"/>
        <v>63</v>
      </c>
      <c r="D82" s="3" t="s">
        <v>79</v>
      </c>
      <c r="E82" s="47" t="s">
        <v>4</v>
      </c>
      <c r="F82" s="48"/>
      <c r="G82" s="7" t="s">
        <v>105</v>
      </c>
    </row>
    <row r="83" spans="1:7" s="11" customFormat="1">
      <c r="A83" s="19"/>
      <c r="B83" s="12"/>
      <c r="C83" s="13">
        <f t="shared" si="3"/>
        <v>64</v>
      </c>
      <c r="D83" s="18" t="s">
        <v>80</v>
      </c>
      <c r="E83" s="31" t="s">
        <v>119</v>
      </c>
      <c r="F83" s="32"/>
      <c r="G83" s="4" t="s">
        <v>8</v>
      </c>
    </row>
    <row r="84" spans="1:7" s="11" customFormat="1">
      <c r="A84" s="19"/>
      <c r="B84" s="12"/>
      <c r="C84" s="13">
        <f t="shared" si="3"/>
        <v>65</v>
      </c>
      <c r="D84" s="18" t="s">
        <v>81</v>
      </c>
      <c r="E84" s="47" t="s">
        <v>4</v>
      </c>
      <c r="F84" s="48"/>
      <c r="G84" s="7" t="s">
        <v>105</v>
      </c>
    </row>
    <row r="85" spans="1:7" s="11" customFormat="1" ht="20.25" customHeight="1">
      <c r="A85" s="19"/>
      <c r="B85" s="12"/>
      <c r="C85" s="13">
        <f t="shared" si="3"/>
        <v>66</v>
      </c>
      <c r="D85" s="3" t="s">
        <v>82</v>
      </c>
      <c r="E85" s="31" t="s">
        <v>154</v>
      </c>
      <c r="F85" s="32"/>
      <c r="G85" s="4" t="s">
        <v>8</v>
      </c>
    </row>
    <row r="86" spans="1:7" s="11" customFormat="1">
      <c r="A86" s="19"/>
      <c r="B86" s="12"/>
      <c r="C86" s="13">
        <f t="shared" si="3"/>
        <v>67</v>
      </c>
      <c r="D86" s="3" t="s">
        <v>83</v>
      </c>
      <c r="E86" s="47" t="s">
        <v>4</v>
      </c>
      <c r="F86" s="48"/>
      <c r="G86" s="7" t="s">
        <v>105</v>
      </c>
    </row>
    <row r="87" spans="1:7" s="11" customFormat="1">
      <c r="A87" s="19"/>
      <c r="B87" s="12"/>
      <c r="C87" s="13">
        <f t="shared" si="3"/>
        <v>68</v>
      </c>
      <c r="D87" s="3" t="s">
        <v>165</v>
      </c>
      <c r="E87" s="40" t="s">
        <v>36</v>
      </c>
      <c r="F87" s="41"/>
      <c r="G87" s="41"/>
    </row>
    <row r="88" spans="1:7" s="11" customFormat="1">
      <c r="A88" s="19"/>
      <c r="B88" s="12"/>
      <c r="C88" s="13">
        <f>C87+1</f>
        <v>69</v>
      </c>
      <c r="D88" s="3" t="s">
        <v>86</v>
      </c>
      <c r="E88" s="31" t="s">
        <v>41</v>
      </c>
      <c r="F88" s="32"/>
      <c r="G88" s="10" t="s">
        <v>28</v>
      </c>
    </row>
    <row r="89" spans="1:7" s="11" customFormat="1">
      <c r="A89" s="19"/>
      <c r="B89" s="12"/>
      <c r="C89" s="13">
        <f t="shared" ref="C89:C92" si="4">C88+1</f>
        <v>70</v>
      </c>
      <c r="D89" s="3" t="s">
        <v>169</v>
      </c>
      <c r="E89" s="53" t="s">
        <v>170</v>
      </c>
      <c r="F89" s="54"/>
      <c r="G89" s="7" t="s">
        <v>105</v>
      </c>
    </row>
    <row r="90" spans="1:7" s="11" customFormat="1">
      <c r="A90" s="19"/>
      <c r="B90" s="12"/>
      <c r="C90" s="13">
        <f t="shared" si="4"/>
        <v>71</v>
      </c>
      <c r="D90" s="3" t="s">
        <v>166</v>
      </c>
      <c r="E90" s="31" t="s">
        <v>132</v>
      </c>
      <c r="F90" s="32"/>
      <c r="G90" s="10" t="s">
        <v>38</v>
      </c>
    </row>
    <row r="91" spans="1:7" s="11" customFormat="1">
      <c r="A91" s="19"/>
      <c r="B91" s="12"/>
      <c r="C91" s="13">
        <f t="shared" si="4"/>
        <v>72</v>
      </c>
      <c r="D91" s="3" t="s">
        <v>167</v>
      </c>
      <c r="E91" s="31" t="s">
        <v>42</v>
      </c>
      <c r="F91" s="32"/>
      <c r="G91" s="24" t="s">
        <v>105</v>
      </c>
    </row>
    <row r="92" spans="1:7" s="11" customFormat="1">
      <c r="A92" s="19"/>
      <c r="B92" s="12"/>
      <c r="C92" s="13">
        <f t="shared" si="4"/>
        <v>73</v>
      </c>
      <c r="D92" s="3" t="s">
        <v>168</v>
      </c>
      <c r="E92" s="55" t="s">
        <v>43</v>
      </c>
      <c r="F92" s="56"/>
      <c r="G92" s="57"/>
    </row>
  </sheetData>
  <mergeCells count="83">
    <mergeCell ref="E91:F91"/>
    <mergeCell ref="E92:G92"/>
    <mergeCell ref="E81:F81"/>
    <mergeCell ref="E86:F86"/>
    <mergeCell ref="E89:F89"/>
    <mergeCell ref="E84:F84"/>
    <mergeCell ref="E85:F85"/>
    <mergeCell ref="E79:F79"/>
    <mergeCell ref="E87:G87"/>
    <mergeCell ref="E88:F88"/>
    <mergeCell ref="E90:F90"/>
    <mergeCell ref="C76:G76"/>
    <mergeCell ref="E77:F77"/>
    <mergeCell ref="E78:F78"/>
    <mergeCell ref="E82:F82"/>
    <mergeCell ref="E83:F83"/>
    <mergeCell ref="E80:G80"/>
    <mergeCell ref="E75:G75"/>
    <mergeCell ref="E63:F63"/>
    <mergeCell ref="E64:F64"/>
    <mergeCell ref="E65:G65"/>
    <mergeCell ref="E66:F66"/>
    <mergeCell ref="E67:F67"/>
    <mergeCell ref="E68:F68"/>
    <mergeCell ref="E69:F69"/>
    <mergeCell ref="E70:F70"/>
    <mergeCell ref="E72:F72"/>
    <mergeCell ref="E73:F73"/>
    <mergeCell ref="E74:F74"/>
    <mergeCell ref="E62:F62"/>
    <mergeCell ref="C49:G49"/>
    <mergeCell ref="E50:F50"/>
    <mergeCell ref="E51:F51"/>
    <mergeCell ref="E52:F52"/>
    <mergeCell ref="E54:F54"/>
    <mergeCell ref="E56:G56"/>
    <mergeCell ref="E57:F57"/>
    <mergeCell ref="E58:F58"/>
    <mergeCell ref="E59:F59"/>
    <mergeCell ref="E60:F60"/>
    <mergeCell ref="E61:F61"/>
    <mergeCell ref="E48:G48"/>
    <mergeCell ref="E37:F37"/>
    <mergeCell ref="E38:F38"/>
    <mergeCell ref="E39:G39"/>
    <mergeCell ref="E40:F40"/>
    <mergeCell ref="E41:F41"/>
    <mergeCell ref="E42:F42"/>
    <mergeCell ref="E43:F43"/>
    <mergeCell ref="E44:F44"/>
    <mergeCell ref="E45:F45"/>
    <mergeCell ref="E46:F46"/>
    <mergeCell ref="E47:F47"/>
    <mergeCell ref="E36:F36"/>
    <mergeCell ref="E25:F25"/>
    <mergeCell ref="E26:F26"/>
    <mergeCell ref="E27:F27"/>
    <mergeCell ref="E28:G28"/>
    <mergeCell ref="E29:F29"/>
    <mergeCell ref="E30:F30"/>
    <mergeCell ref="E31:F31"/>
    <mergeCell ref="E32:F32"/>
    <mergeCell ref="E33:F33"/>
    <mergeCell ref="E34:F34"/>
    <mergeCell ref="E35:F35"/>
    <mergeCell ref="E24:F24"/>
    <mergeCell ref="C13:G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C12:G12"/>
    <mergeCell ref="B5:G5"/>
    <mergeCell ref="B6:G6"/>
    <mergeCell ref="B7:G7"/>
    <mergeCell ref="B8:G8"/>
    <mergeCell ref="C10:G10"/>
  </mergeCells>
  <pageMargins left="0.7" right="0.7" top="0.75" bottom="0.75" header="0.3" footer="0.3"/>
  <pageSetup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Agenda </vt:lpstr>
      <vt:lpstr>Sessao de abertura</vt:lpstr>
      <vt:lpstr>Programa detalhado </vt:lpstr>
      <vt:lpstr>'Agenda '!Print_Area</vt:lpstr>
      <vt:lpstr>'Programa detalhado '!Print_Area</vt:lpstr>
      <vt:lpstr>'Sessao de abertura'!Print_Area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Brana Branquinho Santos</dc:creator>
  <cp:lastModifiedBy>Chadreque Muluana</cp:lastModifiedBy>
  <cp:lastPrinted>2021-08-31T13:41:00Z</cp:lastPrinted>
  <dcterms:created xsi:type="dcterms:W3CDTF">2020-11-23T14:29:00Z</dcterms:created>
  <dcterms:modified xsi:type="dcterms:W3CDTF">2026-08-27T07:04:33Z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B3889DA0A9BC44CDA34B7B044C52AB92_13</vt:lpwstr>
  </property>
  <property fmtid="{D5CDD505-2E9C-101B-9397-08002B2CF9AE}" pid="3" name="KSOProductBuildVer">
    <vt:lpwstr>1033-12.2.0.22549</vt:lpwstr>
  </property>
</Properties>
</file>